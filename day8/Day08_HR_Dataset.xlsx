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Gestaac PC #27\Desktop\TESDAQ\day8\"/>
    </mc:Choice>
  </mc:AlternateContent>
  <xr:revisionPtr revIDLastSave="0" documentId="13_ncr:1_{79F77009-9058-42E3-AE31-ACAA68E0CBFA}" xr6:coauthVersionLast="47" xr6:coauthVersionMax="47" xr10:uidLastSave="{00000000-0000-0000-0000-000000000000}"/>
  <bookViews>
    <workbookView xWindow="-120" yWindow="-120" windowWidth="26640" windowHeight="14490" activeTab="6" xr2:uid="{00000000-000D-0000-FFFF-FFFF00000000}"/>
  </bookViews>
  <sheets>
    <sheet name="Instructions" sheetId="2" r:id="rId1"/>
    <sheet name="Employees" sheetId="1" r:id="rId2"/>
    <sheet name="Pivot 1" sheetId="5" r:id="rId3"/>
    <sheet name="Pivot 2" sheetId="4" r:id="rId4"/>
    <sheet name="Pivot 3" sheetId="6" r:id="rId5"/>
    <sheet name="Pivot 4" sheetId="7" r:id="rId6"/>
    <sheet name="Pivot 5" sheetId="8" r:id="rId7"/>
  </sheets>
  <calcPr calcId="0"/>
  <pivotCaches>
    <pivotCache cacheId="26" r:id="rId8"/>
  </pivotCaches>
</workbook>
</file>

<file path=xl/sharedStrings.xml><?xml version="1.0" encoding="utf-8"?>
<sst xmlns="http://schemas.openxmlformats.org/spreadsheetml/2006/main" count="437" uniqueCount="146">
  <si>
    <t>employee_id</t>
  </si>
  <si>
    <t>first_name</t>
  </si>
  <si>
    <t>last_name</t>
  </si>
  <si>
    <t>department</t>
  </si>
  <si>
    <t>position</t>
  </si>
  <si>
    <t>city</t>
  </si>
  <si>
    <t>gender</t>
  </si>
  <si>
    <t>hire_date</t>
  </si>
  <si>
    <t>salary</t>
  </si>
  <si>
    <t>performance_rating</t>
  </si>
  <si>
    <t>Maria</t>
  </si>
  <si>
    <t>Santos</t>
  </si>
  <si>
    <t>Sales</t>
  </si>
  <si>
    <t>Sales Representative</t>
  </si>
  <si>
    <t>Manila</t>
  </si>
  <si>
    <t>F</t>
  </si>
  <si>
    <t>Excellent</t>
  </si>
  <si>
    <t>Juan</t>
  </si>
  <si>
    <t>Dela Cruz</t>
  </si>
  <si>
    <t>Sales Manager</t>
  </si>
  <si>
    <t>M</t>
  </si>
  <si>
    <t>Ana</t>
  </si>
  <si>
    <t>Reyes</t>
  </si>
  <si>
    <t>Cebu City</t>
  </si>
  <si>
    <t>Good</t>
  </si>
  <si>
    <t>Carlos</t>
  </si>
  <si>
    <t>Garcia</t>
  </si>
  <si>
    <t>Senior Sales Rep</t>
  </si>
  <si>
    <t>Davao City</t>
  </si>
  <si>
    <t>Sofia</t>
  </si>
  <si>
    <t>Mendoza</t>
  </si>
  <si>
    <t>Average</t>
  </si>
  <si>
    <t>Miguel</t>
  </si>
  <si>
    <t>Torres</t>
  </si>
  <si>
    <t>Isabella</t>
  </si>
  <si>
    <t>Cruz</t>
  </si>
  <si>
    <t>Rafael</t>
  </si>
  <si>
    <t>Aquino</t>
  </si>
  <si>
    <t>Marketing</t>
  </si>
  <si>
    <t>Marketing Specialist</t>
  </si>
  <si>
    <t>Patricia</t>
  </si>
  <si>
    <t>Lim</t>
  </si>
  <si>
    <t>Marketing Manager</t>
  </si>
  <si>
    <t>Daniel</t>
  </si>
  <si>
    <t>Tan</t>
  </si>
  <si>
    <t>Angela</t>
  </si>
  <si>
    <t>Rivera</t>
  </si>
  <si>
    <t>Content Creator</t>
  </si>
  <si>
    <t>Roberto</t>
  </si>
  <si>
    <t>Flores</t>
  </si>
  <si>
    <t>Senior Marketer</t>
  </si>
  <si>
    <t>Christine</t>
  </si>
  <si>
    <t>Go</t>
  </si>
  <si>
    <t>IT</t>
  </si>
  <si>
    <t>Junior Developer</t>
  </si>
  <si>
    <t>Marco</t>
  </si>
  <si>
    <t>Villanueva</t>
  </si>
  <si>
    <t>Software Developer</t>
  </si>
  <si>
    <t>Joy</t>
  </si>
  <si>
    <t>Bautista</t>
  </si>
  <si>
    <t>Kenneth</t>
  </si>
  <si>
    <t>Sy</t>
  </si>
  <si>
    <t>Grace</t>
  </si>
  <si>
    <t>Domingo</t>
  </si>
  <si>
    <t>IT Manager</t>
  </si>
  <si>
    <t>Leo</t>
  </si>
  <si>
    <t>Pascual</t>
  </si>
  <si>
    <t>Senior Developer</t>
  </si>
  <si>
    <t>Nicole</t>
  </si>
  <si>
    <t>Ramos</t>
  </si>
  <si>
    <t>QA Tester</t>
  </si>
  <si>
    <t>Cagayan</t>
  </si>
  <si>
    <t>Patrick</t>
  </si>
  <si>
    <t>Ong</t>
  </si>
  <si>
    <t>Lily</t>
  </si>
  <si>
    <t>Chua</t>
  </si>
  <si>
    <t>Finance</t>
  </si>
  <si>
    <t>Accountant</t>
  </si>
  <si>
    <t>Mark</t>
  </si>
  <si>
    <t>Junior Accountant</t>
  </si>
  <si>
    <t>Sarah</t>
  </si>
  <si>
    <t>David</t>
  </si>
  <si>
    <t>Finance Manager</t>
  </si>
  <si>
    <t>James</t>
  </si>
  <si>
    <t>Anne</t>
  </si>
  <si>
    <t>Senior Accountant</t>
  </si>
  <si>
    <t>Vincent</t>
  </si>
  <si>
    <t>Lopez</t>
  </si>
  <si>
    <t>Rachel</t>
  </si>
  <si>
    <t>HR</t>
  </si>
  <si>
    <t>HR Specialist</t>
  </si>
  <si>
    <t>Bryan</t>
  </si>
  <si>
    <t>HR Manager</t>
  </si>
  <si>
    <t>Karen</t>
  </si>
  <si>
    <t>Recruiter</t>
  </si>
  <si>
    <t>Joel</t>
  </si>
  <si>
    <t>Tessa</t>
  </si>
  <si>
    <t>Aldrin</t>
  </si>
  <si>
    <t>Bea</t>
  </si>
  <si>
    <t>Caloy</t>
  </si>
  <si>
    <t>Diana</t>
  </si>
  <si>
    <t>Erwin</t>
  </si>
  <si>
    <t>Faye</t>
  </si>
  <si>
    <t>Gerald</t>
  </si>
  <si>
    <t>Hannah</t>
  </si>
  <si>
    <t>Ian</t>
  </si>
  <si>
    <t>Jenny</t>
  </si>
  <si>
    <t>Kevin</t>
  </si>
  <si>
    <t>Lara</t>
  </si>
  <si>
    <t>Mike</t>
  </si>
  <si>
    <t>Nina</t>
  </si>
  <si>
    <t>Oscar</t>
  </si>
  <si>
    <t>Paula</t>
  </si>
  <si>
    <t>Quentin</t>
  </si>
  <si>
    <t>Rosa</t>
  </si>
  <si>
    <t>Sam</t>
  </si>
  <si>
    <t>Day 08 — HR Dataset Instructions</t>
  </si>
  <si>
    <t>Dataset Overview:</t>
  </si>
  <si>
    <t>• 50 employees across 5 departments (Sales, Marketing, IT, Finance, HR)</t>
  </si>
  <si>
    <t>• 4 work cities (Manila, Cebu City, Davao City, Cagayan)</t>
  </si>
  <si>
    <t>• Hire dates from 2016 to 2024</t>
  </si>
  <si>
    <t>• Salary range: ₱26,100 to ₱85,000</t>
  </si>
  <si>
    <t>• Performance rating: Excellent, Good, Average</t>
  </si>
  <si>
    <t>Use this dataset to practice building Pivot Tables in Excel.</t>
  </si>
  <si>
    <t>The same data is available in Day08_practice.db for SQL GROUP BY queries.</t>
  </si>
  <si>
    <t>Row Labels</t>
  </si>
  <si>
    <t>Grand Total</t>
  </si>
  <si>
    <t>Sum of salary</t>
  </si>
  <si>
    <t>Sum of employee_id</t>
  </si>
  <si>
    <t>Average of salary</t>
  </si>
  <si>
    <t>Column Labels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</si>
  <si>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</si>
  <si>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</si>
  <si>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</si>
  <si>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</si>
  <si>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</si>
  <si>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</si>
  <si>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</si>
  <si>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</si>
  <si>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</si>
  <si>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 of employee_id</t>
  </si>
  <si>
    <t>The department with the most employees is IT (with 331), and the department with the fewest employees is HR (with 199).</t>
  </si>
  <si>
    <t>The company spends the most on salaries in Manila (with a total of 1,175,790).</t>
  </si>
  <si>
    <t>The position with the highest average salary is IT Manager 85,000.00. There is a large difference of ₱58,550.00 between the top and bottom positions 26,450.00$</t>
  </si>
  <si>
    <t>The department–city combination with the most employees is IT in Manila (with 182 employees).</t>
  </si>
  <si>
    <t>The company hired the most employees in 2024 (with 11 hires). The slow hiring years were 2016 and 2017 (with only 1 hire each).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</si>
</sst>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₱-464]* #,##0.00_-;\-[$₱-464]* #,##0.00_-;_-[$₱-464]* &quot;-&quot;??_-;_-@_-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5"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7" formatCode="_-[$₱-464]* #,##0.00_-;\-[$₱-464]* #,##0.00_-;_-[$₱-464]* &quot;-&quot;??_-;_-@_-"/>
    </dxf>
    <dxf>
      <numFmt numFmtId="167" formatCode="_-[$₱-464]* #,##0.00_-;\-[$₱-464]* #,##0.00_-;_-[$₱-464]* &quot;-&quot;??_-;_-@_-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165" formatCode="0.000"/>
    </dxf>
    <dxf>
      <numFmt numFmtId="164" formatCode="0.000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4" formatCode="0.0000"/>
    </dxf>
    <dxf>
      <numFmt numFmtId="164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27" refreshedDate="46199.359928935184" createdVersion="7" refreshedVersion="7" minRefreshableVersion="3" recordCount="50" xr:uid="{2E7FCC2F-DE80-4E51-8047-1A52E900C161}">
  <cacheSource type="worksheet">
    <worksheetSource ref="A1:J51" sheet="Employees"/>
  </cacheSource>
  <cacheFields count="10">
    <cacheField name="employee_id" numFmtId="0">
      <sharedItems containsSemiMixedTypes="0" containsString="0" containsNumber="1" containsInteger="1" minValue="1" maxValue="50"/>
    </cacheField>
    <cacheField name="first_name" numFmtId="0">
      <sharedItems/>
    </cacheField>
    <cacheField name="last_name" numFmtId="0">
      <sharedItems/>
    </cacheField>
    <cacheField name="department" numFmtId="0">
      <sharedItems count="5">
        <s v="Sales"/>
        <s v="Marketing"/>
        <s v="IT"/>
        <s v="Finance"/>
        <s v="HR"/>
      </sharedItems>
    </cacheField>
    <cacheField name="position" numFmtId="0">
      <sharedItems count="19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</sharedItems>
    </cacheField>
    <cacheField name="city" numFmtId="0">
      <sharedItems count="4">
        <s v="Manila"/>
        <s v="Cebu City"/>
        <s v="Davao City"/>
        <s v="Cagayan"/>
      </sharedItems>
    </cacheField>
    <cacheField name="gender" numFmtId="0">
      <sharedItems/>
    </cacheField>
    <cacheField name="hire_date" numFmtId="14">
      <sharedItems containsSemiMixedTypes="0" containsNonDate="0" containsDate="1" containsString="0" minDate="2016-03-20T00:00:00" maxDate="2024-09-02T00:00:00" count="50">
        <d v="2022-03-15T00:00:00"/>
        <d v="2019-08-22T00:00:00"/>
        <d v="2023-01-10T00:00:00"/>
        <d v="2020-11-05T00:00:00"/>
        <d v="2023-04-18T00:00:00"/>
        <d v="2021-08-22T00:00:00"/>
        <d v="2024-05-01T00:00:00"/>
        <d v="2022-01-30T00:00:00"/>
        <d v="2018-06-15T00:00:00"/>
        <d v="2023-06-10T00:00:00"/>
        <d v="2024-02-14T00:00:00"/>
        <d v="2020-09-01T00:00:00"/>
        <d v="2024-07-20T00:00:00"/>
        <d v="2021-03-25T00:00:00"/>
        <d v="2024-08-01T00:00:00"/>
        <d v="2022-01-10T00:00:00"/>
        <d v="2017-04-05T00:00:00"/>
        <d v="2019-12-01T00:00:00"/>
        <d v="2023-05-15T00:00:00"/>
        <d v="2018-10-20T00:00:00"/>
        <d v="2022-01-05T00:00:00"/>
        <d v="2024-01-12T00:00:00"/>
        <d v="2018-02-01T00:00:00"/>
        <d v="2023-02-15T00:00:00"/>
        <d v="2020-03-01T00:00:00"/>
        <d v="2024-04-10T00:00:00"/>
        <d v="2021-07-15T00:00:00"/>
        <d v="2016-03-20T00:00:00"/>
        <d v="2023-09-01T00:00:00"/>
        <d v="2022-05-12T00:00:00"/>
        <d v="2022-10-08T00:00:00"/>
        <d v="2020-04-22T00:00:00"/>
        <d v="2023-08-15T00:00:00"/>
        <d v="2024-03-01T00:00:00"/>
        <d v="2021-11-10T00:00:00"/>
        <d v="2023-02-20T00:00:00"/>
        <d v="2024-06-05T00:00:00"/>
        <d v="2022-08-18T00:00:00"/>
        <d v="2019-05-25T00:00:00"/>
        <d v="2024-01-22T00:00:00"/>
        <d v="2023-11-30T00:00:00"/>
        <d v="2019-09-15T00:00:00"/>
        <d v="2020-06-08T00:00:00"/>
        <d v="2024-02-12T00:00:00"/>
        <d v="2022-04-05T00:00:00"/>
        <d v="2024-09-01T00:00:00"/>
        <d v="2022-12-10T00:00:00"/>
        <d v="2023-07-18T00:00:00"/>
        <d v="2021-12-20T00:00:00"/>
        <d v="2018-05-14T00:00:00"/>
      </sharedItems>
      <fieldGroup base="7">
        <rangePr groupBy="years" startDate="2016-03-20T00:00:00" endDate="2024-09-02T00:00:00"/>
        <groupItems count="11">
          <s v="&lt;3/20/2016"/>
          <s v="2016"/>
          <s v="2017"/>
          <s v="2018"/>
          <s v="2019"/>
          <s v="2020"/>
          <s v="2021"/>
          <s v="2022"/>
          <s v="2023"/>
          <s v="2024"/>
          <s v="&gt;9/2/2024"/>
        </groupItems>
      </fieldGroup>
    </cacheField>
    <cacheField name="salary" numFmtId="0">
      <sharedItems containsSemiMixedTypes="0" containsString="0" containsNumber="1" containsInteger="1" minValue="26100" maxValue="85000"/>
    </cacheField>
    <cacheField name="performance_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aria"/>
    <s v="Santos"/>
    <x v="0"/>
    <x v="0"/>
    <x v="0"/>
    <s v="F"/>
    <x v="0"/>
    <n v="28500"/>
    <s v="Excellent"/>
  </r>
  <r>
    <n v="2"/>
    <s v="Juan"/>
    <s v="Dela Cruz"/>
    <x v="0"/>
    <x v="1"/>
    <x v="0"/>
    <s v="M"/>
    <x v="1"/>
    <n v="65000"/>
    <s v="Excellent"/>
  </r>
  <r>
    <n v="3"/>
    <s v="Ana"/>
    <s v="Reyes"/>
    <x v="0"/>
    <x v="0"/>
    <x v="1"/>
    <s v="F"/>
    <x v="2"/>
    <n v="26300"/>
    <s v="Good"/>
  </r>
  <r>
    <n v="4"/>
    <s v="Carlos"/>
    <s v="Garcia"/>
    <x v="0"/>
    <x v="2"/>
    <x v="2"/>
    <s v="M"/>
    <x v="3"/>
    <n v="38200"/>
    <s v="Excellent"/>
  </r>
  <r>
    <n v="5"/>
    <s v="Sofia"/>
    <s v="Mendoza"/>
    <x v="0"/>
    <x v="0"/>
    <x v="0"/>
    <s v="F"/>
    <x v="4"/>
    <n v="27750"/>
    <s v="Average"/>
  </r>
  <r>
    <n v="6"/>
    <s v="Miguel"/>
    <s v="Torres"/>
    <x v="0"/>
    <x v="2"/>
    <x v="1"/>
    <s v="M"/>
    <x v="5"/>
    <n v="39760"/>
    <s v="Good"/>
  </r>
  <r>
    <n v="7"/>
    <s v="Isabella"/>
    <s v="Cruz"/>
    <x v="0"/>
    <x v="0"/>
    <x v="0"/>
    <s v="F"/>
    <x v="6"/>
    <n v="27000"/>
    <s v="Good"/>
  </r>
  <r>
    <n v="8"/>
    <s v="Rafael"/>
    <s v="Aquino"/>
    <x v="1"/>
    <x v="3"/>
    <x v="2"/>
    <s v="M"/>
    <x v="7"/>
    <n v="32100"/>
    <s v="Excellent"/>
  </r>
  <r>
    <n v="9"/>
    <s v="Patricia"/>
    <s v="Lim"/>
    <x v="1"/>
    <x v="4"/>
    <x v="0"/>
    <s v="F"/>
    <x v="8"/>
    <n v="72000"/>
    <s v="Excellent"/>
  </r>
  <r>
    <n v="10"/>
    <s v="Daniel"/>
    <s v="Tan"/>
    <x v="1"/>
    <x v="3"/>
    <x v="1"/>
    <s v="M"/>
    <x v="9"/>
    <n v="31400"/>
    <s v="Good"/>
  </r>
  <r>
    <n v="11"/>
    <s v="Angela"/>
    <s v="Rivera"/>
    <x v="1"/>
    <x v="5"/>
    <x v="0"/>
    <s v="F"/>
    <x v="10"/>
    <n v="26100"/>
    <s v="Average"/>
  </r>
  <r>
    <n v="12"/>
    <s v="Roberto"/>
    <s v="Flores"/>
    <x v="1"/>
    <x v="6"/>
    <x v="0"/>
    <s v="M"/>
    <x v="11"/>
    <n v="48600"/>
    <s v="Excellent"/>
  </r>
  <r>
    <n v="13"/>
    <s v="Christine"/>
    <s v="Go"/>
    <x v="2"/>
    <x v="7"/>
    <x v="1"/>
    <s v="F"/>
    <x v="12"/>
    <n v="30050"/>
    <s v="Good"/>
  </r>
  <r>
    <n v="14"/>
    <s v="Marco"/>
    <s v="Villanueva"/>
    <x v="2"/>
    <x v="8"/>
    <x v="0"/>
    <s v="M"/>
    <x v="13"/>
    <n v="47440"/>
    <s v="Excellent"/>
  </r>
  <r>
    <n v="15"/>
    <s v="Joy"/>
    <s v="Bautista"/>
    <x v="2"/>
    <x v="7"/>
    <x v="0"/>
    <s v="F"/>
    <x v="14"/>
    <n v="29000"/>
    <s v="Good"/>
  </r>
  <r>
    <n v="16"/>
    <s v="Kenneth"/>
    <s v="Sy"/>
    <x v="2"/>
    <x v="8"/>
    <x v="1"/>
    <s v="M"/>
    <x v="15"/>
    <n v="47360"/>
    <s v="Excellent"/>
  </r>
  <r>
    <n v="17"/>
    <s v="Grace"/>
    <s v="Domingo"/>
    <x v="2"/>
    <x v="9"/>
    <x v="2"/>
    <s v="F"/>
    <x v="16"/>
    <n v="85000"/>
    <s v="Excellent"/>
  </r>
  <r>
    <n v="18"/>
    <s v="Leo"/>
    <s v="Pascual"/>
    <x v="2"/>
    <x v="10"/>
    <x v="0"/>
    <s v="M"/>
    <x v="17"/>
    <n v="67300"/>
    <s v="Excellent"/>
  </r>
  <r>
    <n v="19"/>
    <s v="Nicole"/>
    <s v="Ramos"/>
    <x v="2"/>
    <x v="11"/>
    <x v="3"/>
    <s v="F"/>
    <x v="18"/>
    <n v="32200"/>
    <s v="Good"/>
  </r>
  <r>
    <n v="20"/>
    <s v="Patrick"/>
    <s v="Ong"/>
    <x v="2"/>
    <x v="10"/>
    <x v="0"/>
    <s v="M"/>
    <x v="19"/>
    <n v="68000"/>
    <s v="Excellent"/>
  </r>
  <r>
    <n v="21"/>
    <s v="Lily"/>
    <s v="Chua"/>
    <x v="3"/>
    <x v="12"/>
    <x v="0"/>
    <s v="F"/>
    <x v="20"/>
    <n v="38600"/>
    <s v="Good"/>
  </r>
  <r>
    <n v="22"/>
    <s v="Mark"/>
    <s v="Reyes"/>
    <x v="3"/>
    <x v="13"/>
    <x v="1"/>
    <s v="M"/>
    <x v="21"/>
    <n v="28500"/>
    <s v="Average"/>
  </r>
  <r>
    <n v="23"/>
    <s v="Sarah"/>
    <s v="David"/>
    <x v="3"/>
    <x v="14"/>
    <x v="2"/>
    <s v="F"/>
    <x v="22"/>
    <n v="78800"/>
    <s v="Excellent"/>
  </r>
  <r>
    <n v="24"/>
    <s v="James"/>
    <s v="Lim"/>
    <x v="3"/>
    <x v="12"/>
    <x v="0"/>
    <s v="M"/>
    <x v="23"/>
    <n v="38500"/>
    <s v="Good"/>
  </r>
  <r>
    <n v="25"/>
    <s v="Anne"/>
    <s v="Tan"/>
    <x v="3"/>
    <x v="15"/>
    <x v="0"/>
    <s v="F"/>
    <x v="24"/>
    <n v="52000"/>
    <s v="Excellent"/>
  </r>
  <r>
    <n v="26"/>
    <s v="Vincent"/>
    <s v="Lopez"/>
    <x v="3"/>
    <x v="13"/>
    <x v="1"/>
    <s v="M"/>
    <x v="25"/>
    <n v="27800"/>
    <s v="Average"/>
  </r>
  <r>
    <n v="27"/>
    <s v="Rachel"/>
    <s v="Sy"/>
    <x v="4"/>
    <x v="16"/>
    <x v="0"/>
    <s v="F"/>
    <x v="26"/>
    <n v="36800"/>
    <s v="Good"/>
  </r>
  <r>
    <n v="28"/>
    <s v="Bryan"/>
    <s v="Lim"/>
    <x v="4"/>
    <x v="17"/>
    <x v="0"/>
    <s v="M"/>
    <x v="27"/>
    <n v="82000"/>
    <s v="Excellent"/>
  </r>
  <r>
    <n v="29"/>
    <s v="Karen"/>
    <s v="Cruz"/>
    <x v="4"/>
    <x v="18"/>
    <x v="1"/>
    <s v="F"/>
    <x v="28"/>
    <n v="31500"/>
    <s v="Good"/>
  </r>
  <r>
    <n v="30"/>
    <s v="Joel"/>
    <s v="Reyes"/>
    <x v="4"/>
    <x v="16"/>
    <x v="2"/>
    <s v="M"/>
    <x v="29"/>
    <n v="34900"/>
    <s v="Good"/>
  </r>
  <r>
    <n v="31"/>
    <s v="Tessa"/>
    <s v="Torres"/>
    <x v="0"/>
    <x v="0"/>
    <x v="0"/>
    <s v="F"/>
    <x v="30"/>
    <n v="29100"/>
    <s v="Good"/>
  </r>
  <r>
    <n v="32"/>
    <s v="Aldrin"/>
    <s v="Garcia"/>
    <x v="0"/>
    <x v="2"/>
    <x v="1"/>
    <s v="M"/>
    <x v="31"/>
    <n v="40500"/>
    <s v="Excellent"/>
  </r>
  <r>
    <n v="33"/>
    <s v="Bea"/>
    <s v="Mendoza"/>
    <x v="1"/>
    <x v="3"/>
    <x v="2"/>
    <s v="F"/>
    <x v="32"/>
    <n v="32700"/>
    <s v="Good"/>
  </r>
  <r>
    <n v="34"/>
    <s v="Caloy"/>
    <s v="Aquino"/>
    <x v="1"/>
    <x v="5"/>
    <x v="0"/>
    <s v="M"/>
    <x v="33"/>
    <n v="26800"/>
    <s v="Average"/>
  </r>
  <r>
    <n v="35"/>
    <s v="Diana"/>
    <s v="Lim"/>
    <x v="2"/>
    <x v="8"/>
    <x v="0"/>
    <s v="F"/>
    <x v="34"/>
    <n v="48200"/>
    <s v="Excellent"/>
  </r>
  <r>
    <n v="36"/>
    <s v="Erwin"/>
    <s v="Tan"/>
    <x v="2"/>
    <x v="11"/>
    <x v="1"/>
    <s v="M"/>
    <x v="35"/>
    <n v="31900"/>
    <s v="Good"/>
  </r>
  <r>
    <n v="37"/>
    <s v="Faye"/>
    <s v="Domingo"/>
    <x v="2"/>
    <x v="7"/>
    <x v="0"/>
    <s v="F"/>
    <x v="36"/>
    <n v="29800"/>
    <s v="Average"/>
  </r>
  <r>
    <n v="38"/>
    <s v="Gerald"/>
    <s v="Pascual"/>
    <x v="3"/>
    <x v="12"/>
    <x v="0"/>
    <s v="M"/>
    <x v="37"/>
    <n v="38000"/>
    <s v="Good"/>
  </r>
  <r>
    <n v="39"/>
    <s v="Hannah"/>
    <s v="Ramos"/>
    <x v="3"/>
    <x v="15"/>
    <x v="1"/>
    <s v="F"/>
    <x v="38"/>
    <n v="54200"/>
    <s v="Excellent"/>
  </r>
  <r>
    <n v="40"/>
    <s v="Ian"/>
    <s v="Ong"/>
    <x v="4"/>
    <x v="18"/>
    <x v="0"/>
    <s v="M"/>
    <x v="39"/>
    <n v="30200"/>
    <s v="Average"/>
  </r>
  <r>
    <n v="41"/>
    <s v="Jenny"/>
    <s v="Chua"/>
    <x v="0"/>
    <x v="0"/>
    <x v="2"/>
    <s v="F"/>
    <x v="40"/>
    <n v="26900"/>
    <s v="Good"/>
  </r>
  <r>
    <n v="42"/>
    <s v="Kevin"/>
    <s v="Reyes"/>
    <x v="1"/>
    <x v="6"/>
    <x v="0"/>
    <s v="M"/>
    <x v="41"/>
    <n v="49800"/>
    <s v="Excellent"/>
  </r>
  <r>
    <n v="43"/>
    <s v="Lara"/>
    <s v="David"/>
    <x v="2"/>
    <x v="10"/>
    <x v="0"/>
    <s v="F"/>
    <x v="42"/>
    <n v="66500"/>
    <s v="Excellent"/>
  </r>
  <r>
    <n v="44"/>
    <s v="Mike"/>
    <s v="Sy"/>
    <x v="3"/>
    <x v="13"/>
    <x v="1"/>
    <s v="M"/>
    <x v="43"/>
    <n v="28200"/>
    <s v="Average"/>
  </r>
  <r>
    <n v="45"/>
    <s v="Nina"/>
    <s v="Lim"/>
    <x v="4"/>
    <x v="16"/>
    <x v="0"/>
    <s v="F"/>
    <x v="44"/>
    <n v="36100"/>
    <s v="Good"/>
  </r>
  <r>
    <n v="46"/>
    <s v="Oscar"/>
    <s v="Tan"/>
    <x v="0"/>
    <x v="0"/>
    <x v="0"/>
    <s v="M"/>
    <x v="45"/>
    <n v="27500"/>
    <s v="Average"/>
  </r>
  <r>
    <n v="47"/>
    <s v="Paula"/>
    <s v="Cruz"/>
    <x v="1"/>
    <x v="3"/>
    <x v="1"/>
    <s v="F"/>
    <x v="46"/>
    <n v="32400"/>
    <s v="Good"/>
  </r>
  <r>
    <n v="48"/>
    <s v="Quentin"/>
    <s v="Aquino"/>
    <x v="2"/>
    <x v="11"/>
    <x v="2"/>
    <s v="M"/>
    <x v="47"/>
    <n v="32000"/>
    <s v="Good"/>
  </r>
  <r>
    <n v="49"/>
    <s v="Rosa"/>
    <s v="Pascual"/>
    <x v="3"/>
    <x v="12"/>
    <x v="0"/>
    <s v="F"/>
    <x v="48"/>
    <n v="39200"/>
    <s v="Excellent"/>
  </r>
  <r>
    <n v="50"/>
    <s v="Sam"/>
    <s v="Mendoza"/>
    <x v="0"/>
    <x v="1"/>
    <x v="1"/>
    <s v="M"/>
    <x v="49"/>
    <n v="6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D9B26-1388-4A39-B809-4A6DECF9636B}" name="PivotTable2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0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mployee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4482C-EA21-408B-ACEC-22A19EF73AC7}" name="PivotTable1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9B2D4-F13C-4DAE-ABD8-06A26EA42908}" name="PivotTable3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3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20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1">
    <field x="4"/>
  </rowFields>
  <rowItems count="20">
    <i>
      <x v="5"/>
    </i>
    <i>
      <x v="3"/>
    </i>
    <i>
      <x v="2"/>
    </i>
    <i>
      <x v="8"/>
    </i>
    <i>
      <x v="15"/>
    </i>
    <i>
      <x v="12"/>
    </i>
    <i>
      <x v="14"/>
    </i>
    <i>
      <x v="16"/>
    </i>
    <i>
      <x v="18"/>
    </i>
    <i>
      <x v="17"/>
    </i>
    <i>
      <x/>
    </i>
    <i>
      <x v="4"/>
    </i>
    <i>
      <x v="9"/>
    </i>
    <i>
      <x v="10"/>
    </i>
    <i>
      <x v="11"/>
    </i>
    <i>
      <x v="7"/>
    </i>
    <i>
      <x v="6"/>
    </i>
    <i>
      <x v="13"/>
    </i>
    <i>
      <x v="1"/>
    </i>
    <i t="grand">
      <x/>
    </i>
  </rowItems>
  <colItems count="1">
    <i/>
  </colItems>
  <dataFields count="1">
    <dataField name="Average of salary" fld="8" subtotal="average" baseField="4" baseItem="0" numFmtId="167"/>
  </dataFields>
  <formats count="4">
    <format dxfId="28">
      <pivotArea collapsedLevelsAreSubtotals="1" fieldPosition="0">
        <references count="1">
          <reference field="4" count="13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6">
      <pivotArea grandRow="1" outline="0" collapsedLevelsAreSubtotals="1" fieldPosition="0"/>
    </format>
    <format dxfId="21">
      <pivotArea collapsedLevelsAreSubtotals="1" fieldPosition="0">
        <references count="1">
          <reference field="4" count="1">
            <x v="4"/>
          </reference>
        </references>
      </pivotArea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52687-99AA-40B4-8F53-E25990302810}" name="PivotTable4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0" firstHeaderRow="1" firstDataRow="2" firstDataCol="1"/>
  <pivotFields count="10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employee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2905D-3673-4DC9-9873-7A87D6954D75}" name="PivotTable5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</pivotFields>
  <rowFields count="1">
    <field x="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_id" fld="0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zoomScale="85" zoomScaleNormal="85" workbookViewId="0">
      <selection activeCell="A4" sqref="A4"/>
    </sheetView>
  </sheetViews>
  <sheetFormatPr defaultRowHeight="15"/>
  <cols>
    <col min="1" max="1" width="70" customWidth="1"/>
  </cols>
  <sheetData>
    <row r="1" spans="1:1" ht="18.75">
      <c r="A1" s="4" t="s">
        <v>116</v>
      </c>
    </row>
    <row r="3" spans="1:1">
      <c r="A3" s="5" t="s">
        <v>117</v>
      </c>
    </row>
    <row r="4" spans="1:1">
      <c r="A4" s="6" t="s">
        <v>118</v>
      </c>
    </row>
    <row r="5" spans="1:1">
      <c r="A5" s="6" t="s">
        <v>119</v>
      </c>
    </row>
    <row r="6" spans="1:1">
      <c r="A6" s="6" t="s">
        <v>120</v>
      </c>
    </row>
    <row r="7" spans="1:1">
      <c r="A7" s="6" t="s">
        <v>121</v>
      </c>
    </row>
    <row r="8" spans="1:1">
      <c r="A8" s="6" t="s">
        <v>122</v>
      </c>
    </row>
    <row r="9" spans="1:1">
      <c r="A9" s="6"/>
    </row>
    <row r="10" spans="1:1">
      <c r="A10" s="6" t="s">
        <v>123</v>
      </c>
    </row>
    <row r="11" spans="1:1">
      <c r="A11" s="6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zoomScaleNormal="100" workbookViewId="0">
      <selection activeCell="H1" sqref="H1:H51"/>
    </sheetView>
  </sheetViews>
  <sheetFormatPr defaultRowHeight="15"/>
  <cols>
    <col min="1" max="1" width="13" customWidth="1"/>
    <col min="2" max="2" width="12" customWidth="1"/>
    <col min="3" max="3" width="13" customWidth="1"/>
    <col min="4" max="4" width="14" customWidth="1"/>
    <col min="5" max="5" width="22" customWidth="1"/>
    <col min="6" max="6" width="13" customWidth="1"/>
    <col min="7" max="7" width="9" customWidth="1"/>
    <col min="8" max="8" width="13" customWidth="1"/>
    <col min="9" max="9" width="11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1">
        <v>44635</v>
      </c>
      <c r="I2" s="2">
        <v>28500</v>
      </c>
      <c r="J2" s="2" t="s">
        <v>16</v>
      </c>
    </row>
    <row r="3" spans="1:10">
      <c r="A3" s="3">
        <v>2</v>
      </c>
      <c r="B3" s="3" t="s">
        <v>17</v>
      </c>
      <c r="C3" s="3" t="s">
        <v>18</v>
      </c>
      <c r="D3" s="3" t="s">
        <v>12</v>
      </c>
      <c r="E3" s="3" t="s">
        <v>19</v>
      </c>
      <c r="F3" s="3" t="s">
        <v>14</v>
      </c>
      <c r="G3" s="3" t="s">
        <v>20</v>
      </c>
      <c r="H3" s="12">
        <v>43699</v>
      </c>
      <c r="I3" s="3">
        <v>65000</v>
      </c>
      <c r="J3" s="3" t="s">
        <v>16</v>
      </c>
    </row>
    <row r="4" spans="1:10">
      <c r="A4" s="2">
        <v>3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23</v>
      </c>
      <c r="G4" s="2" t="s">
        <v>15</v>
      </c>
      <c r="H4" s="11">
        <v>44936</v>
      </c>
      <c r="I4" s="2">
        <v>26300</v>
      </c>
      <c r="J4" s="2" t="s">
        <v>24</v>
      </c>
    </row>
    <row r="5" spans="1:10">
      <c r="A5" s="3">
        <v>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20</v>
      </c>
      <c r="H5" s="12">
        <v>44140</v>
      </c>
      <c r="I5" s="3">
        <v>38200</v>
      </c>
      <c r="J5" s="3" t="s">
        <v>16</v>
      </c>
    </row>
    <row r="6" spans="1:10">
      <c r="A6" s="2">
        <v>5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15</v>
      </c>
      <c r="H6" s="11">
        <v>45034</v>
      </c>
      <c r="I6" s="2">
        <v>27750</v>
      </c>
      <c r="J6" s="2" t="s">
        <v>31</v>
      </c>
    </row>
    <row r="7" spans="1:10">
      <c r="A7" s="3">
        <v>6</v>
      </c>
      <c r="B7" s="3" t="s">
        <v>32</v>
      </c>
      <c r="C7" s="3" t="s">
        <v>33</v>
      </c>
      <c r="D7" s="3" t="s">
        <v>12</v>
      </c>
      <c r="E7" s="3" t="s">
        <v>27</v>
      </c>
      <c r="F7" s="3" t="s">
        <v>23</v>
      </c>
      <c r="G7" s="3" t="s">
        <v>20</v>
      </c>
      <c r="H7" s="12">
        <v>44430</v>
      </c>
      <c r="I7" s="3">
        <v>39760</v>
      </c>
      <c r="J7" s="3" t="s">
        <v>24</v>
      </c>
    </row>
    <row r="8" spans="1:10">
      <c r="A8" s="2">
        <v>7</v>
      </c>
      <c r="B8" s="2" t="s">
        <v>34</v>
      </c>
      <c r="C8" s="2" t="s">
        <v>35</v>
      </c>
      <c r="D8" s="2" t="s">
        <v>12</v>
      </c>
      <c r="E8" s="2" t="s">
        <v>13</v>
      </c>
      <c r="F8" s="2" t="s">
        <v>14</v>
      </c>
      <c r="G8" s="2" t="s">
        <v>15</v>
      </c>
      <c r="H8" s="11">
        <v>45413</v>
      </c>
      <c r="I8" s="2">
        <v>27000</v>
      </c>
      <c r="J8" s="2" t="s">
        <v>24</v>
      </c>
    </row>
    <row r="9" spans="1:10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28</v>
      </c>
      <c r="G9" s="3" t="s">
        <v>20</v>
      </c>
      <c r="H9" s="12">
        <v>44591</v>
      </c>
      <c r="I9" s="3">
        <v>32100</v>
      </c>
      <c r="J9" s="3" t="s">
        <v>16</v>
      </c>
    </row>
    <row r="10" spans="1:10">
      <c r="A10" s="2">
        <v>9</v>
      </c>
      <c r="B10" s="2" t="s">
        <v>40</v>
      </c>
      <c r="C10" s="2" t="s">
        <v>41</v>
      </c>
      <c r="D10" s="2" t="s">
        <v>38</v>
      </c>
      <c r="E10" s="2" t="s">
        <v>42</v>
      </c>
      <c r="F10" s="2" t="s">
        <v>14</v>
      </c>
      <c r="G10" s="2" t="s">
        <v>15</v>
      </c>
      <c r="H10" s="11">
        <v>43266</v>
      </c>
      <c r="I10" s="2">
        <v>72000</v>
      </c>
      <c r="J10" s="2" t="s">
        <v>16</v>
      </c>
    </row>
    <row r="11" spans="1:10">
      <c r="A11" s="3">
        <v>10</v>
      </c>
      <c r="B11" s="3" t="s">
        <v>43</v>
      </c>
      <c r="C11" s="3" t="s">
        <v>44</v>
      </c>
      <c r="D11" s="3" t="s">
        <v>38</v>
      </c>
      <c r="E11" s="3" t="s">
        <v>39</v>
      </c>
      <c r="F11" s="3" t="s">
        <v>23</v>
      </c>
      <c r="G11" s="3" t="s">
        <v>20</v>
      </c>
      <c r="H11" s="12">
        <v>45087</v>
      </c>
      <c r="I11" s="3">
        <v>31400</v>
      </c>
      <c r="J11" s="3" t="s">
        <v>24</v>
      </c>
    </row>
    <row r="12" spans="1:10">
      <c r="A12" s="2">
        <v>11</v>
      </c>
      <c r="B12" s="2" t="s">
        <v>45</v>
      </c>
      <c r="C12" s="2" t="s">
        <v>46</v>
      </c>
      <c r="D12" s="2" t="s">
        <v>38</v>
      </c>
      <c r="E12" s="2" t="s">
        <v>47</v>
      </c>
      <c r="F12" s="2" t="s">
        <v>14</v>
      </c>
      <c r="G12" s="2" t="s">
        <v>15</v>
      </c>
      <c r="H12" s="11">
        <v>45336</v>
      </c>
      <c r="I12" s="2">
        <v>26100</v>
      </c>
      <c r="J12" s="2" t="s">
        <v>31</v>
      </c>
    </row>
    <row r="13" spans="1:10">
      <c r="A13" s="3">
        <v>12</v>
      </c>
      <c r="B13" s="3" t="s">
        <v>48</v>
      </c>
      <c r="C13" s="3" t="s">
        <v>49</v>
      </c>
      <c r="D13" s="3" t="s">
        <v>38</v>
      </c>
      <c r="E13" s="3" t="s">
        <v>50</v>
      </c>
      <c r="F13" s="3" t="s">
        <v>14</v>
      </c>
      <c r="G13" s="3" t="s">
        <v>20</v>
      </c>
      <c r="H13" s="12">
        <v>44075</v>
      </c>
      <c r="I13" s="3">
        <v>48600</v>
      </c>
      <c r="J13" s="3" t="s">
        <v>16</v>
      </c>
    </row>
    <row r="14" spans="1:10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23</v>
      </c>
      <c r="G14" s="2" t="s">
        <v>15</v>
      </c>
      <c r="H14" s="11">
        <v>45493</v>
      </c>
      <c r="I14" s="2">
        <v>30050</v>
      </c>
      <c r="J14" s="2" t="s">
        <v>24</v>
      </c>
    </row>
    <row r="15" spans="1:10">
      <c r="A15" s="3">
        <v>14</v>
      </c>
      <c r="B15" s="3" t="s">
        <v>55</v>
      </c>
      <c r="C15" s="3" t="s">
        <v>56</v>
      </c>
      <c r="D15" s="3" t="s">
        <v>53</v>
      </c>
      <c r="E15" s="3" t="s">
        <v>57</v>
      </c>
      <c r="F15" s="3" t="s">
        <v>14</v>
      </c>
      <c r="G15" s="3" t="s">
        <v>20</v>
      </c>
      <c r="H15" s="12">
        <v>44280</v>
      </c>
      <c r="I15" s="3">
        <v>47440</v>
      </c>
      <c r="J15" s="3" t="s">
        <v>16</v>
      </c>
    </row>
    <row r="16" spans="1:10">
      <c r="A16" s="2">
        <v>15</v>
      </c>
      <c r="B16" s="2" t="s">
        <v>58</v>
      </c>
      <c r="C16" s="2" t="s">
        <v>59</v>
      </c>
      <c r="D16" s="2" t="s">
        <v>53</v>
      </c>
      <c r="E16" s="2" t="s">
        <v>54</v>
      </c>
      <c r="F16" s="2" t="s">
        <v>14</v>
      </c>
      <c r="G16" s="2" t="s">
        <v>15</v>
      </c>
      <c r="H16" s="11">
        <v>45505</v>
      </c>
      <c r="I16" s="2">
        <v>29000</v>
      </c>
      <c r="J16" s="2" t="s">
        <v>24</v>
      </c>
    </row>
    <row r="17" spans="1:10">
      <c r="A17" s="3">
        <v>16</v>
      </c>
      <c r="B17" s="3" t="s">
        <v>60</v>
      </c>
      <c r="C17" s="3" t="s">
        <v>61</v>
      </c>
      <c r="D17" s="3" t="s">
        <v>53</v>
      </c>
      <c r="E17" s="3" t="s">
        <v>57</v>
      </c>
      <c r="F17" s="3" t="s">
        <v>23</v>
      </c>
      <c r="G17" s="3" t="s">
        <v>20</v>
      </c>
      <c r="H17" s="12">
        <v>44571</v>
      </c>
      <c r="I17" s="3">
        <v>47360</v>
      </c>
      <c r="J17" s="3" t="s">
        <v>16</v>
      </c>
    </row>
    <row r="18" spans="1:10">
      <c r="A18" s="2">
        <v>17</v>
      </c>
      <c r="B18" s="2" t="s">
        <v>62</v>
      </c>
      <c r="C18" s="2" t="s">
        <v>63</v>
      </c>
      <c r="D18" s="2" t="s">
        <v>53</v>
      </c>
      <c r="E18" s="2" t="s">
        <v>64</v>
      </c>
      <c r="F18" s="2" t="s">
        <v>28</v>
      </c>
      <c r="G18" s="2" t="s">
        <v>15</v>
      </c>
      <c r="H18" s="11">
        <v>42830</v>
      </c>
      <c r="I18" s="2">
        <v>85000</v>
      </c>
      <c r="J18" s="2" t="s">
        <v>16</v>
      </c>
    </row>
    <row r="19" spans="1:10">
      <c r="A19" s="3">
        <v>18</v>
      </c>
      <c r="B19" s="3" t="s">
        <v>65</v>
      </c>
      <c r="C19" s="3" t="s">
        <v>66</v>
      </c>
      <c r="D19" s="3" t="s">
        <v>53</v>
      </c>
      <c r="E19" s="3" t="s">
        <v>67</v>
      </c>
      <c r="F19" s="3" t="s">
        <v>14</v>
      </c>
      <c r="G19" s="3" t="s">
        <v>20</v>
      </c>
      <c r="H19" s="12">
        <v>43800</v>
      </c>
      <c r="I19" s="3">
        <v>67300</v>
      </c>
      <c r="J19" s="3" t="s">
        <v>16</v>
      </c>
    </row>
    <row r="20" spans="1:10">
      <c r="A20" s="2">
        <v>19</v>
      </c>
      <c r="B20" s="2" t="s">
        <v>68</v>
      </c>
      <c r="C20" s="2" t="s">
        <v>69</v>
      </c>
      <c r="D20" s="2" t="s">
        <v>53</v>
      </c>
      <c r="E20" s="2" t="s">
        <v>70</v>
      </c>
      <c r="F20" s="2" t="s">
        <v>71</v>
      </c>
      <c r="G20" s="2" t="s">
        <v>15</v>
      </c>
      <c r="H20" s="11">
        <v>45061</v>
      </c>
      <c r="I20" s="2">
        <v>32200</v>
      </c>
      <c r="J20" s="2" t="s">
        <v>24</v>
      </c>
    </row>
    <row r="21" spans="1:10">
      <c r="A21" s="3">
        <v>20</v>
      </c>
      <c r="B21" s="3" t="s">
        <v>72</v>
      </c>
      <c r="C21" s="3" t="s">
        <v>73</v>
      </c>
      <c r="D21" s="3" t="s">
        <v>53</v>
      </c>
      <c r="E21" s="3" t="s">
        <v>67</v>
      </c>
      <c r="F21" s="3" t="s">
        <v>14</v>
      </c>
      <c r="G21" s="3" t="s">
        <v>20</v>
      </c>
      <c r="H21" s="12">
        <v>43393</v>
      </c>
      <c r="I21" s="3">
        <v>68000</v>
      </c>
      <c r="J21" s="3" t="s">
        <v>16</v>
      </c>
    </row>
    <row r="22" spans="1:10">
      <c r="A22" s="2">
        <v>21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14</v>
      </c>
      <c r="G22" s="2" t="s">
        <v>15</v>
      </c>
      <c r="H22" s="11">
        <v>44566</v>
      </c>
      <c r="I22" s="2">
        <v>38600</v>
      </c>
      <c r="J22" s="2" t="s">
        <v>24</v>
      </c>
    </row>
    <row r="23" spans="1:10">
      <c r="A23" s="3">
        <v>22</v>
      </c>
      <c r="B23" s="3" t="s">
        <v>78</v>
      </c>
      <c r="C23" s="3" t="s">
        <v>22</v>
      </c>
      <c r="D23" s="3" t="s">
        <v>76</v>
      </c>
      <c r="E23" s="3" t="s">
        <v>79</v>
      </c>
      <c r="F23" s="3" t="s">
        <v>23</v>
      </c>
      <c r="G23" s="3" t="s">
        <v>20</v>
      </c>
      <c r="H23" s="12">
        <v>45303</v>
      </c>
      <c r="I23" s="3">
        <v>28500</v>
      </c>
      <c r="J23" s="3" t="s">
        <v>31</v>
      </c>
    </row>
    <row r="24" spans="1:10">
      <c r="A24" s="2">
        <v>23</v>
      </c>
      <c r="B24" s="2" t="s">
        <v>80</v>
      </c>
      <c r="C24" s="2" t="s">
        <v>81</v>
      </c>
      <c r="D24" s="2" t="s">
        <v>76</v>
      </c>
      <c r="E24" s="2" t="s">
        <v>82</v>
      </c>
      <c r="F24" s="2" t="s">
        <v>28</v>
      </c>
      <c r="G24" s="2" t="s">
        <v>15</v>
      </c>
      <c r="H24" s="11">
        <v>43132</v>
      </c>
      <c r="I24" s="2">
        <v>78800</v>
      </c>
      <c r="J24" s="2" t="s">
        <v>16</v>
      </c>
    </row>
    <row r="25" spans="1:10">
      <c r="A25" s="3">
        <v>24</v>
      </c>
      <c r="B25" s="3" t="s">
        <v>83</v>
      </c>
      <c r="C25" s="3" t="s">
        <v>41</v>
      </c>
      <c r="D25" s="3" t="s">
        <v>76</v>
      </c>
      <c r="E25" s="3" t="s">
        <v>77</v>
      </c>
      <c r="F25" s="3" t="s">
        <v>14</v>
      </c>
      <c r="G25" s="3" t="s">
        <v>20</v>
      </c>
      <c r="H25" s="12">
        <v>44972</v>
      </c>
      <c r="I25" s="3">
        <v>38500</v>
      </c>
      <c r="J25" s="3" t="s">
        <v>24</v>
      </c>
    </row>
    <row r="26" spans="1:10">
      <c r="A26" s="2">
        <v>25</v>
      </c>
      <c r="B26" s="2" t="s">
        <v>84</v>
      </c>
      <c r="C26" s="2" t="s">
        <v>44</v>
      </c>
      <c r="D26" s="2" t="s">
        <v>76</v>
      </c>
      <c r="E26" s="2" t="s">
        <v>85</v>
      </c>
      <c r="F26" s="2" t="s">
        <v>14</v>
      </c>
      <c r="G26" s="2" t="s">
        <v>15</v>
      </c>
      <c r="H26" s="11">
        <v>43891</v>
      </c>
      <c r="I26" s="2">
        <v>52000</v>
      </c>
      <c r="J26" s="2" t="s">
        <v>16</v>
      </c>
    </row>
    <row r="27" spans="1:10">
      <c r="A27" s="3">
        <v>26</v>
      </c>
      <c r="B27" s="3" t="s">
        <v>86</v>
      </c>
      <c r="C27" s="3" t="s">
        <v>87</v>
      </c>
      <c r="D27" s="3" t="s">
        <v>76</v>
      </c>
      <c r="E27" s="3" t="s">
        <v>79</v>
      </c>
      <c r="F27" s="3" t="s">
        <v>23</v>
      </c>
      <c r="G27" s="3" t="s">
        <v>20</v>
      </c>
      <c r="H27" s="12">
        <v>45392</v>
      </c>
      <c r="I27" s="3">
        <v>27800</v>
      </c>
      <c r="J27" s="3" t="s">
        <v>31</v>
      </c>
    </row>
    <row r="28" spans="1:10">
      <c r="A28" s="2">
        <v>27</v>
      </c>
      <c r="B28" s="2" t="s">
        <v>88</v>
      </c>
      <c r="C28" s="2" t="s">
        <v>61</v>
      </c>
      <c r="D28" s="2" t="s">
        <v>89</v>
      </c>
      <c r="E28" s="2" t="s">
        <v>90</v>
      </c>
      <c r="F28" s="2" t="s">
        <v>14</v>
      </c>
      <c r="G28" s="2" t="s">
        <v>15</v>
      </c>
      <c r="H28" s="11">
        <v>44392</v>
      </c>
      <c r="I28" s="2">
        <v>36800</v>
      </c>
      <c r="J28" s="2" t="s">
        <v>24</v>
      </c>
    </row>
    <row r="29" spans="1:10">
      <c r="A29" s="3">
        <v>28</v>
      </c>
      <c r="B29" s="3" t="s">
        <v>91</v>
      </c>
      <c r="C29" s="3" t="s">
        <v>41</v>
      </c>
      <c r="D29" s="3" t="s">
        <v>89</v>
      </c>
      <c r="E29" s="3" t="s">
        <v>92</v>
      </c>
      <c r="F29" s="3" t="s">
        <v>14</v>
      </c>
      <c r="G29" s="3" t="s">
        <v>20</v>
      </c>
      <c r="H29" s="12">
        <v>42449</v>
      </c>
      <c r="I29" s="3">
        <v>82000</v>
      </c>
      <c r="J29" s="3" t="s">
        <v>16</v>
      </c>
    </row>
    <row r="30" spans="1:10">
      <c r="A30" s="2">
        <v>29</v>
      </c>
      <c r="B30" s="2" t="s">
        <v>93</v>
      </c>
      <c r="C30" s="2" t="s">
        <v>35</v>
      </c>
      <c r="D30" s="2" t="s">
        <v>89</v>
      </c>
      <c r="E30" s="2" t="s">
        <v>94</v>
      </c>
      <c r="F30" s="2" t="s">
        <v>23</v>
      </c>
      <c r="G30" s="2" t="s">
        <v>15</v>
      </c>
      <c r="H30" s="11">
        <v>45170</v>
      </c>
      <c r="I30" s="2">
        <v>31500</v>
      </c>
      <c r="J30" s="2" t="s">
        <v>24</v>
      </c>
    </row>
    <row r="31" spans="1:10">
      <c r="A31" s="3">
        <v>30</v>
      </c>
      <c r="B31" s="3" t="s">
        <v>95</v>
      </c>
      <c r="C31" s="3" t="s">
        <v>22</v>
      </c>
      <c r="D31" s="3" t="s">
        <v>89</v>
      </c>
      <c r="E31" s="3" t="s">
        <v>90</v>
      </c>
      <c r="F31" s="3" t="s">
        <v>28</v>
      </c>
      <c r="G31" s="3" t="s">
        <v>20</v>
      </c>
      <c r="H31" s="12">
        <v>44693</v>
      </c>
      <c r="I31" s="3">
        <v>34900</v>
      </c>
      <c r="J31" s="3" t="s">
        <v>24</v>
      </c>
    </row>
    <row r="32" spans="1:10">
      <c r="A32" s="2">
        <v>31</v>
      </c>
      <c r="B32" s="2" t="s">
        <v>96</v>
      </c>
      <c r="C32" s="2" t="s">
        <v>33</v>
      </c>
      <c r="D32" s="2" t="s">
        <v>12</v>
      </c>
      <c r="E32" s="2" t="s">
        <v>13</v>
      </c>
      <c r="F32" s="2" t="s">
        <v>14</v>
      </c>
      <c r="G32" s="2" t="s">
        <v>15</v>
      </c>
      <c r="H32" s="11">
        <v>44842</v>
      </c>
      <c r="I32" s="2">
        <v>29100</v>
      </c>
      <c r="J32" s="2" t="s">
        <v>24</v>
      </c>
    </row>
    <row r="33" spans="1:10">
      <c r="A33" s="3">
        <v>32</v>
      </c>
      <c r="B33" s="3" t="s">
        <v>97</v>
      </c>
      <c r="C33" s="3" t="s">
        <v>26</v>
      </c>
      <c r="D33" s="3" t="s">
        <v>12</v>
      </c>
      <c r="E33" s="3" t="s">
        <v>27</v>
      </c>
      <c r="F33" s="3" t="s">
        <v>23</v>
      </c>
      <c r="G33" s="3" t="s">
        <v>20</v>
      </c>
      <c r="H33" s="12">
        <v>43943</v>
      </c>
      <c r="I33" s="3">
        <v>40500</v>
      </c>
      <c r="J33" s="3" t="s">
        <v>16</v>
      </c>
    </row>
    <row r="34" spans="1:10">
      <c r="A34" s="2">
        <v>33</v>
      </c>
      <c r="B34" s="2" t="s">
        <v>98</v>
      </c>
      <c r="C34" s="2" t="s">
        <v>30</v>
      </c>
      <c r="D34" s="2" t="s">
        <v>38</v>
      </c>
      <c r="E34" s="2" t="s">
        <v>39</v>
      </c>
      <c r="F34" s="2" t="s">
        <v>28</v>
      </c>
      <c r="G34" s="2" t="s">
        <v>15</v>
      </c>
      <c r="H34" s="11">
        <v>45153</v>
      </c>
      <c r="I34" s="2">
        <v>32700</v>
      </c>
      <c r="J34" s="2" t="s">
        <v>24</v>
      </c>
    </row>
    <row r="35" spans="1:10">
      <c r="A35" s="3">
        <v>34</v>
      </c>
      <c r="B35" s="3" t="s">
        <v>99</v>
      </c>
      <c r="C35" s="3" t="s">
        <v>37</v>
      </c>
      <c r="D35" s="3" t="s">
        <v>38</v>
      </c>
      <c r="E35" s="3" t="s">
        <v>47</v>
      </c>
      <c r="F35" s="3" t="s">
        <v>14</v>
      </c>
      <c r="G35" s="3" t="s">
        <v>20</v>
      </c>
      <c r="H35" s="12">
        <v>45352</v>
      </c>
      <c r="I35" s="3">
        <v>26800</v>
      </c>
      <c r="J35" s="3" t="s">
        <v>31</v>
      </c>
    </row>
    <row r="36" spans="1:10">
      <c r="A36" s="2">
        <v>35</v>
      </c>
      <c r="B36" s="2" t="s">
        <v>100</v>
      </c>
      <c r="C36" s="2" t="s">
        <v>41</v>
      </c>
      <c r="D36" s="2" t="s">
        <v>53</v>
      </c>
      <c r="E36" s="2" t="s">
        <v>57</v>
      </c>
      <c r="F36" s="2" t="s">
        <v>14</v>
      </c>
      <c r="G36" s="2" t="s">
        <v>15</v>
      </c>
      <c r="H36" s="11">
        <v>44510</v>
      </c>
      <c r="I36" s="2">
        <v>48200</v>
      </c>
      <c r="J36" s="2" t="s">
        <v>16</v>
      </c>
    </row>
    <row r="37" spans="1:10">
      <c r="A37" s="3">
        <v>36</v>
      </c>
      <c r="B37" s="3" t="s">
        <v>101</v>
      </c>
      <c r="C37" s="3" t="s">
        <v>44</v>
      </c>
      <c r="D37" s="3" t="s">
        <v>53</v>
      </c>
      <c r="E37" s="3" t="s">
        <v>70</v>
      </c>
      <c r="F37" s="3" t="s">
        <v>23</v>
      </c>
      <c r="G37" s="3" t="s">
        <v>20</v>
      </c>
      <c r="H37" s="12">
        <v>44977</v>
      </c>
      <c r="I37" s="3">
        <v>31900</v>
      </c>
      <c r="J37" s="3" t="s">
        <v>24</v>
      </c>
    </row>
    <row r="38" spans="1:10">
      <c r="A38" s="2">
        <v>37</v>
      </c>
      <c r="B38" s="2" t="s">
        <v>102</v>
      </c>
      <c r="C38" s="2" t="s">
        <v>63</v>
      </c>
      <c r="D38" s="2" t="s">
        <v>53</v>
      </c>
      <c r="E38" s="2" t="s">
        <v>54</v>
      </c>
      <c r="F38" s="2" t="s">
        <v>14</v>
      </c>
      <c r="G38" s="2" t="s">
        <v>15</v>
      </c>
      <c r="H38" s="11">
        <v>45448</v>
      </c>
      <c r="I38" s="2">
        <v>29800</v>
      </c>
      <c r="J38" s="2" t="s">
        <v>31</v>
      </c>
    </row>
    <row r="39" spans="1:10">
      <c r="A39" s="3">
        <v>38</v>
      </c>
      <c r="B39" s="3" t="s">
        <v>103</v>
      </c>
      <c r="C39" s="3" t="s">
        <v>66</v>
      </c>
      <c r="D39" s="3" t="s">
        <v>76</v>
      </c>
      <c r="E39" s="3" t="s">
        <v>77</v>
      </c>
      <c r="F39" s="3" t="s">
        <v>14</v>
      </c>
      <c r="G39" s="3" t="s">
        <v>20</v>
      </c>
      <c r="H39" s="12">
        <v>44791</v>
      </c>
      <c r="I39" s="3">
        <v>38000</v>
      </c>
      <c r="J39" s="3" t="s">
        <v>24</v>
      </c>
    </row>
    <row r="40" spans="1:10">
      <c r="A40" s="2">
        <v>39</v>
      </c>
      <c r="B40" s="2" t="s">
        <v>104</v>
      </c>
      <c r="C40" s="2" t="s">
        <v>69</v>
      </c>
      <c r="D40" s="2" t="s">
        <v>76</v>
      </c>
      <c r="E40" s="2" t="s">
        <v>85</v>
      </c>
      <c r="F40" s="2" t="s">
        <v>23</v>
      </c>
      <c r="G40" s="2" t="s">
        <v>15</v>
      </c>
      <c r="H40" s="11">
        <v>43610</v>
      </c>
      <c r="I40" s="2">
        <v>54200</v>
      </c>
      <c r="J40" s="2" t="s">
        <v>16</v>
      </c>
    </row>
    <row r="41" spans="1:10">
      <c r="A41" s="3">
        <v>40</v>
      </c>
      <c r="B41" s="3" t="s">
        <v>105</v>
      </c>
      <c r="C41" s="3" t="s">
        <v>73</v>
      </c>
      <c r="D41" s="3" t="s">
        <v>89</v>
      </c>
      <c r="E41" s="3" t="s">
        <v>94</v>
      </c>
      <c r="F41" s="3" t="s">
        <v>14</v>
      </c>
      <c r="G41" s="3" t="s">
        <v>20</v>
      </c>
      <c r="H41" s="12">
        <v>45313</v>
      </c>
      <c r="I41" s="3">
        <v>30200</v>
      </c>
      <c r="J41" s="3" t="s">
        <v>31</v>
      </c>
    </row>
    <row r="42" spans="1:10">
      <c r="A42" s="2">
        <v>41</v>
      </c>
      <c r="B42" s="2" t="s">
        <v>106</v>
      </c>
      <c r="C42" s="2" t="s">
        <v>75</v>
      </c>
      <c r="D42" s="2" t="s">
        <v>12</v>
      </c>
      <c r="E42" s="2" t="s">
        <v>13</v>
      </c>
      <c r="F42" s="2" t="s">
        <v>28</v>
      </c>
      <c r="G42" s="2" t="s">
        <v>15</v>
      </c>
      <c r="H42" s="11">
        <v>45260</v>
      </c>
      <c r="I42" s="2">
        <v>26900</v>
      </c>
      <c r="J42" s="2" t="s">
        <v>24</v>
      </c>
    </row>
    <row r="43" spans="1:10">
      <c r="A43" s="3">
        <v>42</v>
      </c>
      <c r="B43" s="3" t="s">
        <v>107</v>
      </c>
      <c r="C43" s="3" t="s">
        <v>22</v>
      </c>
      <c r="D43" s="3" t="s">
        <v>38</v>
      </c>
      <c r="E43" s="3" t="s">
        <v>50</v>
      </c>
      <c r="F43" s="3" t="s">
        <v>14</v>
      </c>
      <c r="G43" s="3" t="s">
        <v>20</v>
      </c>
      <c r="H43" s="12">
        <v>43723</v>
      </c>
      <c r="I43" s="3">
        <v>49800</v>
      </c>
      <c r="J43" s="3" t="s">
        <v>16</v>
      </c>
    </row>
    <row r="44" spans="1:10">
      <c r="A44" s="2">
        <v>43</v>
      </c>
      <c r="B44" s="2" t="s">
        <v>108</v>
      </c>
      <c r="C44" s="2" t="s">
        <v>81</v>
      </c>
      <c r="D44" s="2" t="s">
        <v>53</v>
      </c>
      <c r="E44" s="2" t="s">
        <v>67</v>
      </c>
      <c r="F44" s="2" t="s">
        <v>14</v>
      </c>
      <c r="G44" s="2" t="s">
        <v>15</v>
      </c>
      <c r="H44" s="11">
        <v>43990</v>
      </c>
      <c r="I44" s="2">
        <v>66500</v>
      </c>
      <c r="J44" s="2" t="s">
        <v>16</v>
      </c>
    </row>
    <row r="45" spans="1:10">
      <c r="A45" s="3">
        <v>44</v>
      </c>
      <c r="B45" s="3" t="s">
        <v>109</v>
      </c>
      <c r="C45" s="3" t="s">
        <v>61</v>
      </c>
      <c r="D45" s="3" t="s">
        <v>76</v>
      </c>
      <c r="E45" s="3" t="s">
        <v>79</v>
      </c>
      <c r="F45" s="3" t="s">
        <v>23</v>
      </c>
      <c r="G45" s="3" t="s">
        <v>20</v>
      </c>
      <c r="H45" s="12">
        <v>45334</v>
      </c>
      <c r="I45" s="3">
        <v>28200</v>
      </c>
      <c r="J45" s="3" t="s">
        <v>31</v>
      </c>
    </row>
    <row r="46" spans="1:10">
      <c r="A46" s="2">
        <v>45</v>
      </c>
      <c r="B46" s="2" t="s">
        <v>110</v>
      </c>
      <c r="C46" s="2" t="s">
        <v>41</v>
      </c>
      <c r="D46" s="2" t="s">
        <v>89</v>
      </c>
      <c r="E46" s="2" t="s">
        <v>90</v>
      </c>
      <c r="F46" s="2" t="s">
        <v>14</v>
      </c>
      <c r="G46" s="2" t="s">
        <v>15</v>
      </c>
      <c r="H46" s="11">
        <v>44656</v>
      </c>
      <c r="I46" s="2">
        <v>36100</v>
      </c>
      <c r="J46" s="2" t="s">
        <v>24</v>
      </c>
    </row>
    <row r="47" spans="1:10">
      <c r="A47" s="3">
        <v>46</v>
      </c>
      <c r="B47" s="3" t="s">
        <v>111</v>
      </c>
      <c r="C47" s="3" t="s">
        <v>44</v>
      </c>
      <c r="D47" s="3" t="s">
        <v>12</v>
      </c>
      <c r="E47" s="3" t="s">
        <v>13</v>
      </c>
      <c r="F47" s="3" t="s">
        <v>14</v>
      </c>
      <c r="G47" s="3" t="s">
        <v>20</v>
      </c>
      <c r="H47" s="12">
        <v>45536</v>
      </c>
      <c r="I47" s="3">
        <v>27500</v>
      </c>
      <c r="J47" s="3" t="s">
        <v>31</v>
      </c>
    </row>
    <row r="48" spans="1:10">
      <c r="A48" s="2">
        <v>47</v>
      </c>
      <c r="B48" s="2" t="s">
        <v>112</v>
      </c>
      <c r="C48" s="2" t="s">
        <v>35</v>
      </c>
      <c r="D48" s="2" t="s">
        <v>38</v>
      </c>
      <c r="E48" s="2" t="s">
        <v>39</v>
      </c>
      <c r="F48" s="2" t="s">
        <v>23</v>
      </c>
      <c r="G48" s="2" t="s">
        <v>15</v>
      </c>
      <c r="H48" s="11">
        <v>44905</v>
      </c>
      <c r="I48" s="2">
        <v>32400</v>
      </c>
      <c r="J48" s="2" t="s">
        <v>24</v>
      </c>
    </row>
    <row r="49" spans="1:10">
      <c r="A49" s="3">
        <v>48</v>
      </c>
      <c r="B49" s="3" t="s">
        <v>113</v>
      </c>
      <c r="C49" s="3" t="s">
        <v>37</v>
      </c>
      <c r="D49" s="3" t="s">
        <v>53</v>
      </c>
      <c r="E49" s="3" t="s">
        <v>70</v>
      </c>
      <c r="F49" s="3" t="s">
        <v>28</v>
      </c>
      <c r="G49" s="3" t="s">
        <v>20</v>
      </c>
      <c r="H49" s="12">
        <v>45125</v>
      </c>
      <c r="I49" s="3">
        <v>32000</v>
      </c>
      <c r="J49" s="3" t="s">
        <v>24</v>
      </c>
    </row>
    <row r="50" spans="1:10">
      <c r="A50" s="2">
        <v>49</v>
      </c>
      <c r="B50" s="2" t="s">
        <v>114</v>
      </c>
      <c r="C50" s="2" t="s">
        <v>66</v>
      </c>
      <c r="D50" s="2" t="s">
        <v>76</v>
      </c>
      <c r="E50" s="2" t="s">
        <v>77</v>
      </c>
      <c r="F50" s="2" t="s">
        <v>14</v>
      </c>
      <c r="G50" s="2" t="s">
        <v>15</v>
      </c>
      <c r="H50" s="11">
        <v>44550</v>
      </c>
      <c r="I50" s="2">
        <v>39200</v>
      </c>
      <c r="J50" s="2" t="s">
        <v>16</v>
      </c>
    </row>
    <row r="51" spans="1:10">
      <c r="A51" s="3">
        <v>50</v>
      </c>
      <c r="B51" s="3" t="s">
        <v>115</v>
      </c>
      <c r="C51" s="3" t="s">
        <v>30</v>
      </c>
      <c r="D51" s="3" t="s">
        <v>12</v>
      </c>
      <c r="E51" s="3" t="s">
        <v>19</v>
      </c>
      <c r="F51" s="3" t="s">
        <v>23</v>
      </c>
      <c r="G51" s="3" t="s">
        <v>20</v>
      </c>
      <c r="H51" s="12">
        <v>43234</v>
      </c>
      <c r="I51" s="3">
        <v>62000</v>
      </c>
      <c r="J51" s="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5EE3-2157-4DEC-AFFD-9CA6A49EECA6}">
  <dimension ref="A3:K12"/>
  <sheetViews>
    <sheetView workbookViewId="0">
      <selection activeCell="L9" sqref="L9"/>
    </sheetView>
  </sheetViews>
  <sheetFormatPr defaultRowHeight="15"/>
  <cols>
    <col min="1" max="1" width="13.140625" bestFit="1" customWidth="1"/>
    <col min="2" max="2" width="19.5703125" bestFit="1" customWidth="1"/>
  </cols>
  <sheetData>
    <row r="3" spans="1:11">
      <c r="A3" s="7" t="s">
        <v>125</v>
      </c>
      <c r="B3" t="s">
        <v>128</v>
      </c>
    </row>
    <row r="4" spans="1:11">
      <c r="A4" s="8" t="s">
        <v>76</v>
      </c>
      <c r="B4" s="9">
        <v>311</v>
      </c>
    </row>
    <row r="5" spans="1:11">
      <c r="A5" s="8" t="s">
        <v>89</v>
      </c>
      <c r="B5" s="9">
        <v>199</v>
      </c>
    </row>
    <row r="6" spans="1:11">
      <c r="A6" s="8" t="s">
        <v>53</v>
      </c>
      <c r="B6" s="9">
        <v>331</v>
      </c>
    </row>
    <row r="7" spans="1:11">
      <c r="A7" s="8" t="s">
        <v>38</v>
      </c>
      <c r="B7" s="9">
        <v>206</v>
      </c>
    </row>
    <row r="8" spans="1:11">
      <c r="A8" s="8" t="s">
        <v>12</v>
      </c>
      <c r="B8" s="9">
        <v>228</v>
      </c>
    </row>
    <row r="9" spans="1:11">
      <c r="A9" s="8" t="s">
        <v>126</v>
      </c>
      <c r="B9" s="9">
        <v>1275</v>
      </c>
    </row>
    <row r="12" spans="1:11">
      <c r="A12" s="14" t="s">
        <v>141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</sheetData>
  <mergeCells count="1">
    <mergeCell ref="A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F084-EF83-43BA-A189-4159F334C9D3}">
  <dimension ref="A3:G10"/>
  <sheetViews>
    <sheetView workbookViewId="0">
      <selection activeCell="I10" sqref="I10"/>
    </sheetView>
  </sheetViews>
  <sheetFormatPr defaultRowHeight="15"/>
  <cols>
    <col min="1" max="1" width="13.140625" bestFit="1" customWidth="1"/>
    <col min="2" max="2" width="12.7109375" bestFit="1" customWidth="1"/>
  </cols>
  <sheetData>
    <row r="3" spans="1:7">
      <c r="A3" s="7" t="s">
        <v>125</v>
      </c>
      <c r="B3" t="s">
        <v>127</v>
      </c>
    </row>
    <row r="4" spans="1:7">
      <c r="A4" s="8" t="s">
        <v>71</v>
      </c>
      <c r="B4" s="9">
        <v>32200</v>
      </c>
    </row>
    <row r="5" spans="1:7">
      <c r="A5" s="8" t="s">
        <v>23</v>
      </c>
      <c r="B5" s="9">
        <v>511870</v>
      </c>
    </row>
    <row r="6" spans="1:7">
      <c r="A6" s="8" t="s">
        <v>28</v>
      </c>
      <c r="B6" s="9">
        <v>360600</v>
      </c>
    </row>
    <row r="7" spans="1:7">
      <c r="A7" s="8" t="s">
        <v>14</v>
      </c>
      <c r="B7" s="9">
        <v>1175790</v>
      </c>
    </row>
    <row r="8" spans="1:7">
      <c r="A8" s="8" t="s">
        <v>126</v>
      </c>
      <c r="B8" s="9">
        <v>2080460</v>
      </c>
    </row>
    <row r="10" spans="1:7">
      <c r="A10" s="13" t="s">
        <v>142</v>
      </c>
      <c r="B10" s="13"/>
      <c r="C10" s="13"/>
      <c r="D10" s="13"/>
      <c r="E10" s="13"/>
      <c r="F10" s="13"/>
      <c r="G10" s="13"/>
    </row>
  </sheetData>
  <mergeCells count="1">
    <mergeCell ref="A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6EE9-D6A9-45FA-89EA-D42566129AE6}">
  <dimension ref="A3:R26"/>
  <sheetViews>
    <sheetView zoomScale="115" zoomScaleNormal="115" workbookViewId="0">
      <selection activeCell="N11" sqref="N11"/>
    </sheetView>
  </sheetViews>
  <sheetFormatPr defaultRowHeight="15"/>
  <cols>
    <col min="1" max="1" width="19.85546875" bestFit="1" customWidth="1"/>
    <col min="2" max="2" width="16.28515625" bestFit="1" customWidth="1"/>
  </cols>
  <sheetData>
    <row r="3" spans="1:2">
      <c r="A3" s="7" t="s">
        <v>125</v>
      </c>
      <c r="B3" t="s">
        <v>129</v>
      </c>
    </row>
    <row r="4" spans="1:2">
      <c r="A4" s="8" t="s">
        <v>64</v>
      </c>
      <c r="B4" s="10">
        <v>85000</v>
      </c>
    </row>
    <row r="5" spans="1:2">
      <c r="A5" s="8" t="s">
        <v>92</v>
      </c>
      <c r="B5" s="10">
        <v>82000</v>
      </c>
    </row>
    <row r="6" spans="1:2">
      <c r="A6" s="8" t="s">
        <v>82</v>
      </c>
      <c r="B6" s="10">
        <v>78800</v>
      </c>
    </row>
    <row r="7" spans="1:2">
      <c r="A7" s="8" t="s">
        <v>42</v>
      </c>
      <c r="B7" s="10">
        <v>72000</v>
      </c>
    </row>
    <row r="8" spans="1:2">
      <c r="A8" s="8" t="s">
        <v>67</v>
      </c>
      <c r="B8" s="10">
        <v>67266.666666666672</v>
      </c>
    </row>
    <row r="9" spans="1:2">
      <c r="A9" s="8" t="s">
        <v>19</v>
      </c>
      <c r="B9" s="10">
        <v>63500</v>
      </c>
    </row>
    <row r="10" spans="1:2">
      <c r="A10" s="8" t="s">
        <v>85</v>
      </c>
      <c r="B10" s="10">
        <v>53100</v>
      </c>
    </row>
    <row r="11" spans="1:2">
      <c r="A11" s="8" t="s">
        <v>50</v>
      </c>
      <c r="B11" s="10">
        <v>49200</v>
      </c>
    </row>
    <row r="12" spans="1:2">
      <c r="A12" s="8" t="s">
        <v>57</v>
      </c>
      <c r="B12" s="10">
        <v>47666.666666666664</v>
      </c>
    </row>
    <row r="13" spans="1:2">
      <c r="A13" s="8" t="s">
        <v>27</v>
      </c>
      <c r="B13" s="10">
        <v>39486.666666666664</v>
      </c>
    </row>
    <row r="14" spans="1:2">
      <c r="A14" s="8" t="s">
        <v>77</v>
      </c>
      <c r="B14" s="10">
        <v>38575</v>
      </c>
    </row>
    <row r="15" spans="1:2">
      <c r="A15" s="8" t="s">
        <v>90</v>
      </c>
      <c r="B15" s="10">
        <v>35933.333333333336</v>
      </c>
    </row>
    <row r="16" spans="1:2">
      <c r="A16" s="8" t="s">
        <v>39</v>
      </c>
      <c r="B16" s="10">
        <v>32150</v>
      </c>
    </row>
    <row r="17" spans="1:18">
      <c r="A17" s="8" t="s">
        <v>70</v>
      </c>
      <c r="B17" s="10">
        <v>32033.333333333332</v>
      </c>
    </row>
    <row r="18" spans="1:18">
      <c r="A18" s="8" t="s">
        <v>94</v>
      </c>
      <c r="B18" s="10">
        <v>30850</v>
      </c>
    </row>
    <row r="19" spans="1:18">
      <c r="A19" s="8" t="s">
        <v>54</v>
      </c>
      <c r="B19" s="10">
        <v>29616.666666666668</v>
      </c>
    </row>
    <row r="20" spans="1:18">
      <c r="A20" s="8" t="s">
        <v>79</v>
      </c>
      <c r="B20" s="10">
        <v>28166.666666666668</v>
      </c>
    </row>
    <row r="21" spans="1:18">
      <c r="A21" s="8" t="s">
        <v>13</v>
      </c>
      <c r="B21" s="10">
        <v>27578.571428571428</v>
      </c>
    </row>
    <row r="22" spans="1:18">
      <c r="A22" s="8" t="s">
        <v>47</v>
      </c>
      <c r="B22" s="10">
        <v>26450</v>
      </c>
    </row>
    <row r="23" spans="1:18">
      <c r="A23" s="8" t="s">
        <v>126</v>
      </c>
      <c r="B23" s="10">
        <v>41609.199999999997</v>
      </c>
    </row>
    <row r="26" spans="1:18">
      <c r="A26" s="13" t="s">
        <v>143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</sheetData>
  <mergeCells count="1">
    <mergeCell ref="A26:R26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B83C-4697-46F7-8EC2-70CB40613FDE}">
  <dimension ref="A3:J13"/>
  <sheetViews>
    <sheetView workbookViewId="0">
      <selection activeCell="J6" sqref="J6"/>
    </sheetView>
  </sheetViews>
  <sheetFormatPr defaultRowHeight="15"/>
  <cols>
    <col min="1" max="1" width="19.5703125" bestFit="1" customWidth="1"/>
    <col min="2" max="2" width="16.28515625" bestFit="1" customWidth="1"/>
    <col min="3" max="3" width="9.42578125" bestFit="1" customWidth="1"/>
    <col min="4" max="4" width="10.28515625" bestFit="1" customWidth="1"/>
    <col min="5" max="5" width="7.140625" bestFit="1" customWidth="1"/>
    <col min="6" max="6" width="11.28515625" bestFit="1" customWidth="1"/>
  </cols>
  <sheetData>
    <row r="3" spans="1:10">
      <c r="A3" s="7" t="s">
        <v>128</v>
      </c>
      <c r="B3" s="7" t="s">
        <v>130</v>
      </c>
    </row>
    <row r="4" spans="1:10">
      <c r="A4" s="7" t="s">
        <v>125</v>
      </c>
      <c r="B4" t="s">
        <v>71</v>
      </c>
      <c r="C4" t="s">
        <v>23</v>
      </c>
      <c r="D4" t="s">
        <v>28</v>
      </c>
      <c r="E4" t="s">
        <v>14</v>
      </c>
      <c r="F4" t="s">
        <v>126</v>
      </c>
    </row>
    <row r="5" spans="1:10">
      <c r="A5" s="8" t="s">
        <v>76</v>
      </c>
      <c r="B5" s="9"/>
      <c r="C5" s="9">
        <v>131</v>
      </c>
      <c r="D5" s="9">
        <v>23</v>
      </c>
      <c r="E5" s="9">
        <v>157</v>
      </c>
      <c r="F5" s="9">
        <v>311</v>
      </c>
    </row>
    <row r="6" spans="1:10">
      <c r="A6" s="8" t="s">
        <v>89</v>
      </c>
      <c r="B6" s="9"/>
      <c r="C6" s="9">
        <v>29</v>
      </c>
      <c r="D6" s="9">
        <v>30</v>
      </c>
      <c r="E6" s="9">
        <v>140</v>
      </c>
      <c r="F6" s="9">
        <v>199</v>
      </c>
    </row>
    <row r="7" spans="1:10">
      <c r="A7" s="8" t="s">
        <v>53</v>
      </c>
      <c r="B7" s="9">
        <v>19</v>
      </c>
      <c r="C7" s="9">
        <v>65</v>
      </c>
      <c r="D7" s="9">
        <v>65</v>
      </c>
      <c r="E7" s="9">
        <v>182</v>
      </c>
      <c r="F7" s="9">
        <v>331</v>
      </c>
    </row>
    <row r="8" spans="1:10">
      <c r="A8" s="8" t="s">
        <v>38</v>
      </c>
      <c r="B8" s="9"/>
      <c r="C8" s="9">
        <v>57</v>
      </c>
      <c r="D8" s="9">
        <v>41</v>
      </c>
      <c r="E8" s="9">
        <v>108</v>
      </c>
      <c r="F8" s="9">
        <v>206</v>
      </c>
    </row>
    <row r="9" spans="1:10">
      <c r="A9" s="8" t="s">
        <v>12</v>
      </c>
      <c r="B9" s="9"/>
      <c r="C9" s="9">
        <v>91</v>
      </c>
      <c r="D9" s="9">
        <v>45</v>
      </c>
      <c r="E9" s="9">
        <v>92</v>
      </c>
      <c r="F9" s="9">
        <v>228</v>
      </c>
    </row>
    <row r="10" spans="1:10">
      <c r="A10" s="8" t="s">
        <v>126</v>
      </c>
      <c r="B10" s="9">
        <v>19</v>
      </c>
      <c r="C10" s="9">
        <v>373</v>
      </c>
      <c r="D10" s="9">
        <v>204</v>
      </c>
      <c r="E10" s="9">
        <v>679</v>
      </c>
      <c r="F10" s="9">
        <v>1275</v>
      </c>
    </row>
    <row r="13" spans="1:10">
      <c r="B13" s="13" t="s">
        <v>144</v>
      </c>
      <c r="C13" s="13"/>
      <c r="D13" s="13"/>
      <c r="E13" s="13"/>
      <c r="F13" s="13"/>
      <c r="G13" s="13"/>
      <c r="H13" s="13"/>
      <c r="I13" s="13"/>
      <c r="J13" s="13"/>
    </row>
  </sheetData>
  <mergeCells count="1">
    <mergeCell ref="B13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3C8B-EF9A-40A1-8B84-6B396C9963A8}">
  <dimension ref="A3:L15"/>
  <sheetViews>
    <sheetView tabSelected="1" workbookViewId="0">
      <selection activeCell="H26" sqref="H26"/>
    </sheetView>
  </sheetViews>
  <sheetFormatPr defaultRowHeight="15"/>
  <cols>
    <col min="1" max="1" width="13.140625" bestFit="1" customWidth="1"/>
    <col min="2" max="2" width="21" bestFit="1" customWidth="1"/>
  </cols>
  <sheetData>
    <row r="3" spans="1:12">
      <c r="A3" s="7" t="s">
        <v>125</v>
      </c>
      <c r="B3" t="s">
        <v>140</v>
      </c>
    </row>
    <row r="4" spans="1:12">
      <c r="A4" s="8" t="s">
        <v>131</v>
      </c>
      <c r="B4" s="9">
        <v>1</v>
      </c>
    </row>
    <row r="5" spans="1:12">
      <c r="A5" s="8" t="s">
        <v>132</v>
      </c>
      <c r="B5" s="9">
        <v>1</v>
      </c>
    </row>
    <row r="6" spans="1:12">
      <c r="A6" s="8" t="s">
        <v>133</v>
      </c>
      <c r="B6" s="9">
        <v>4</v>
      </c>
    </row>
    <row r="7" spans="1:12">
      <c r="A7" s="8" t="s">
        <v>134</v>
      </c>
      <c r="B7" s="9">
        <v>4</v>
      </c>
    </row>
    <row r="8" spans="1:12">
      <c r="A8" s="8" t="s">
        <v>135</v>
      </c>
      <c r="B8" s="9">
        <v>5</v>
      </c>
    </row>
    <row r="9" spans="1:12">
      <c r="A9" s="8" t="s">
        <v>136</v>
      </c>
      <c r="B9" s="9">
        <v>5</v>
      </c>
    </row>
    <row r="10" spans="1:12">
      <c r="A10" s="8" t="s">
        <v>137</v>
      </c>
      <c r="B10" s="9">
        <v>9</v>
      </c>
    </row>
    <row r="11" spans="1:12">
      <c r="A11" s="8" t="s">
        <v>138</v>
      </c>
      <c r="B11" s="9">
        <v>10</v>
      </c>
    </row>
    <row r="12" spans="1:12">
      <c r="A12" s="8" t="s">
        <v>139</v>
      </c>
      <c r="B12" s="9">
        <v>11</v>
      </c>
    </row>
    <row r="13" spans="1:12">
      <c r="A13" s="8" t="s">
        <v>126</v>
      </c>
      <c r="B13" s="9">
        <v>50</v>
      </c>
    </row>
    <row r="15" spans="1:12">
      <c r="B15" s="13" t="s">
        <v>145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</sheetData>
  <mergeCells count="1">
    <mergeCell ref="B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Employees</vt:lpstr>
      <vt:lpstr>Pivot 1</vt:lpstr>
      <vt:lpstr>Pivot 2</vt:lpstr>
      <vt:lpstr>Pivot 3</vt:lpstr>
      <vt:lpstr>Pivot 4</vt:lpstr>
      <vt:lpstr>Pivot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#27</cp:lastModifiedBy>
  <dcterms:created xsi:type="dcterms:W3CDTF">2026-05-22T18:03:54Z</dcterms:created>
  <dcterms:modified xsi:type="dcterms:W3CDTF">2026-06-26T00:49:58Z</dcterms:modified>
</cp:coreProperties>
</file>